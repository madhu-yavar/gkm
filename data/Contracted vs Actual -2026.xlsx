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hitra\Admin\Chitra\Documentation\Complete Documentation 2018\Claude\HK Weekly Reports\"/>
    </mc:Choice>
  </mc:AlternateContent>
  <bookViews>
    <workbookView xWindow="0" yWindow="0" windowWidth="15360" windowHeight="8400"/>
  </bookViews>
  <sheets>
    <sheet name="Est vs Actual-2026" sheetId="1" r:id="rId1"/>
  </sheets>
  <calcPr calcId="152511"/>
</workbook>
</file>

<file path=xl/calcChain.xml><?xml version="1.0" encoding="utf-8"?>
<calcChain xmlns="http://schemas.openxmlformats.org/spreadsheetml/2006/main">
  <c r="M51" i="1" l="1"/>
  <c r="M50" i="1"/>
  <c r="M49" i="1"/>
  <c r="M48" i="1"/>
  <c r="M47" i="1"/>
  <c r="M46" i="1"/>
  <c r="M44" i="1"/>
  <c r="M43" i="1"/>
  <c r="M42" i="1"/>
  <c r="M41" i="1"/>
  <c r="M40" i="1"/>
  <c r="M39" i="1"/>
  <c r="M38" i="1"/>
  <c r="M37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5" i="1"/>
  <c r="M4" i="1"/>
  <c r="M3" i="1"/>
  <c r="B61" i="1" l="1"/>
  <c r="E61" i="1"/>
  <c r="F61" i="1"/>
  <c r="D61" i="1"/>
  <c r="J4" i="1"/>
  <c r="L4" i="1" s="1"/>
  <c r="K4" i="1"/>
  <c r="J5" i="1"/>
  <c r="K5" i="1"/>
  <c r="J6" i="1"/>
  <c r="K6" i="1"/>
  <c r="J7" i="1"/>
  <c r="K7" i="1"/>
  <c r="J8" i="1"/>
  <c r="K8" i="1"/>
  <c r="J9" i="1"/>
  <c r="K9" i="1"/>
  <c r="J10" i="1"/>
  <c r="K10" i="1"/>
  <c r="L10" i="1" s="1"/>
  <c r="J11" i="1"/>
  <c r="K11" i="1"/>
  <c r="J12" i="1"/>
  <c r="K12" i="1"/>
  <c r="J13" i="1"/>
  <c r="L13" i="1" s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L31" i="1" s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B51" i="1"/>
  <c r="E51" i="1"/>
  <c r="G51" i="1"/>
  <c r="H51" i="1"/>
  <c r="D51" i="1"/>
  <c r="F56" i="1"/>
  <c r="I46" i="1"/>
  <c r="I47" i="1"/>
  <c r="I48" i="1"/>
  <c r="I49" i="1"/>
  <c r="I50" i="1"/>
  <c r="F59" i="1"/>
  <c r="F58" i="1"/>
  <c r="F57" i="1"/>
  <c r="F60" i="1"/>
  <c r="F47" i="1"/>
  <c r="F48" i="1"/>
  <c r="F49" i="1"/>
  <c r="F50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5" i="1"/>
  <c r="F15" i="1"/>
  <c r="F16" i="1"/>
  <c r="F17" i="1"/>
  <c r="F18" i="1"/>
  <c r="F19" i="1"/>
  <c r="F20" i="1"/>
  <c r="F21" i="1"/>
  <c r="F22" i="1"/>
  <c r="F23" i="1"/>
  <c r="F4" i="1"/>
  <c r="F5" i="1"/>
  <c r="F6" i="1"/>
  <c r="F7" i="1"/>
  <c r="F8" i="1"/>
  <c r="F9" i="1"/>
  <c r="F10" i="1"/>
  <c r="F11" i="1"/>
  <c r="F12" i="1"/>
  <c r="F13" i="1"/>
  <c r="L15" i="1" l="1"/>
  <c r="L44" i="1"/>
  <c r="L28" i="1"/>
  <c r="L11" i="1"/>
  <c r="L45" i="1"/>
  <c r="L41" i="1"/>
  <c r="L46" i="1"/>
  <c r="L27" i="1"/>
  <c r="L18" i="1"/>
  <c r="L30" i="1"/>
  <c r="L5" i="1"/>
  <c r="L12" i="1"/>
  <c r="L29" i="1"/>
  <c r="L40" i="1"/>
  <c r="L36" i="1"/>
  <c r="L39" i="1"/>
  <c r="L38" i="1"/>
  <c r="L48" i="1"/>
  <c r="L42" i="1"/>
  <c r="L20" i="1"/>
  <c r="L7" i="1"/>
  <c r="L25" i="1"/>
  <c r="L16" i="1"/>
  <c r="L47" i="1"/>
  <c r="L23" i="1"/>
  <c r="L24" i="1"/>
  <c r="L50" i="1"/>
  <c r="L33" i="1"/>
  <c r="L26" i="1"/>
  <c r="L43" i="1"/>
  <c r="L8" i="1"/>
  <c r="L32" i="1"/>
  <c r="L17" i="1"/>
  <c r="L35" i="1"/>
  <c r="L49" i="1"/>
  <c r="L6" i="1"/>
  <c r="L34" i="1"/>
  <c r="L21" i="1"/>
  <c r="L37" i="1"/>
  <c r="L9" i="1"/>
  <c r="L14" i="1"/>
  <c r="L22" i="1"/>
  <c r="L19" i="1"/>
  <c r="K3" i="1"/>
  <c r="K51" i="1" s="1"/>
  <c r="J3" i="1"/>
  <c r="J51" i="1" s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14" i="1"/>
  <c r="F24" i="1"/>
  <c r="F26" i="1"/>
  <c r="F46" i="1"/>
  <c r="F3" i="1"/>
  <c r="I51" i="1" l="1"/>
  <c r="F51" i="1"/>
  <c r="L3" i="1"/>
  <c r="L51" i="1" s="1"/>
</calcChain>
</file>

<file path=xl/sharedStrings.xml><?xml version="1.0" encoding="utf-8"?>
<sst xmlns="http://schemas.openxmlformats.org/spreadsheetml/2006/main" count="183" uniqueCount="123">
  <si>
    <t>Client Name</t>
  </si>
  <si>
    <t>Client ID</t>
  </si>
  <si>
    <t>Client Type</t>
  </si>
  <si>
    <t>CPA</t>
  </si>
  <si>
    <t>Caleb Helms</t>
  </si>
  <si>
    <t>CH</t>
  </si>
  <si>
    <t>Carlos Guaman</t>
  </si>
  <si>
    <t>CG</t>
  </si>
  <si>
    <t>CCK Strategies</t>
  </si>
  <si>
    <t>CCK</t>
  </si>
  <si>
    <t>CGA,LLP</t>
  </si>
  <si>
    <t>CGA</t>
  </si>
  <si>
    <t>CLE Consulting firm</t>
  </si>
  <si>
    <t>CLE</t>
  </si>
  <si>
    <t>Clever Taxes Elite</t>
  </si>
  <si>
    <t>CTE</t>
  </si>
  <si>
    <t>Craig Carr</t>
  </si>
  <si>
    <t>CC</t>
  </si>
  <si>
    <t>Dan P Vigilante</t>
  </si>
  <si>
    <t>DPV</t>
  </si>
  <si>
    <t>DataMate Bookkeeping</t>
  </si>
  <si>
    <t>DM</t>
  </si>
  <si>
    <t>Dave Adler</t>
  </si>
  <si>
    <t>DA</t>
  </si>
  <si>
    <t>David A Turner</t>
  </si>
  <si>
    <t>DT</t>
  </si>
  <si>
    <t>Dushyant Lowe</t>
  </si>
  <si>
    <t>DL</t>
  </si>
  <si>
    <t>Edison Tax</t>
  </si>
  <si>
    <t>ET</t>
  </si>
  <si>
    <t>Foster Financial</t>
  </si>
  <si>
    <t>FF</t>
  </si>
  <si>
    <t>Friedman Huey</t>
  </si>
  <si>
    <t>FH</t>
  </si>
  <si>
    <t>Greg Bourque</t>
  </si>
  <si>
    <t>GB</t>
  </si>
  <si>
    <t>Harvey Hoskins</t>
  </si>
  <si>
    <t>HH</t>
  </si>
  <si>
    <t>James Buss</t>
  </si>
  <si>
    <t>JB</t>
  </si>
  <si>
    <t>Janette  Davis</t>
  </si>
  <si>
    <t>JLD</t>
  </si>
  <si>
    <t>Jennifer Wu</t>
  </si>
  <si>
    <t>JW</t>
  </si>
  <si>
    <t>Keith Adams</t>
  </si>
  <si>
    <t>KA</t>
  </si>
  <si>
    <t>Lana Koifman</t>
  </si>
  <si>
    <t>LK</t>
  </si>
  <si>
    <t xml:space="preserve">Lana Loomis </t>
  </si>
  <si>
    <t>LL</t>
  </si>
  <si>
    <t>Marge Cook</t>
  </si>
  <si>
    <t>MC</t>
  </si>
  <si>
    <t>Marie Grasmeier</t>
  </si>
  <si>
    <t>MJG</t>
  </si>
  <si>
    <t>Mark Feinsot</t>
  </si>
  <si>
    <t>MF</t>
  </si>
  <si>
    <t>Mark  Hymer</t>
  </si>
  <si>
    <t>MH</t>
  </si>
  <si>
    <t>Matt Collins</t>
  </si>
  <si>
    <t>COLL</t>
  </si>
  <si>
    <t>Michael Green</t>
  </si>
  <si>
    <t>MG</t>
  </si>
  <si>
    <t>Michael Spiegler</t>
  </si>
  <si>
    <t>MS</t>
  </si>
  <si>
    <t>Nacho Mendoza</t>
  </si>
  <si>
    <t>NM</t>
  </si>
  <si>
    <t>Navarro Strategies</t>
  </si>
  <si>
    <t>NS</t>
  </si>
  <si>
    <t>Peter Bentley</t>
  </si>
  <si>
    <t>PP</t>
  </si>
  <si>
    <t>PotentE8</t>
  </si>
  <si>
    <t>PE</t>
  </si>
  <si>
    <t>Rick Lancaster</t>
  </si>
  <si>
    <t>RL</t>
  </si>
  <si>
    <t>Rob Yackel</t>
  </si>
  <si>
    <t>RY</t>
  </si>
  <si>
    <t>Rob Reisenbeck</t>
  </si>
  <si>
    <t>RR</t>
  </si>
  <si>
    <t>Robert Benkovich</t>
  </si>
  <si>
    <t>RBN</t>
  </si>
  <si>
    <t>Rodriguez CPA</t>
  </si>
  <si>
    <t>SR</t>
  </si>
  <si>
    <t>Roy Britto</t>
  </si>
  <si>
    <t>RB</t>
  </si>
  <si>
    <t xml:space="preserve">Samatva Wealth Management </t>
  </si>
  <si>
    <t>SW</t>
  </si>
  <si>
    <t>Shahzib Shahbaz</t>
  </si>
  <si>
    <t>SHA</t>
  </si>
  <si>
    <t>Shonty  Spatola</t>
  </si>
  <si>
    <t>SPA</t>
  </si>
  <si>
    <t>Summers Gill</t>
  </si>
  <si>
    <t>SG</t>
  </si>
  <si>
    <t>Susanne Mariga</t>
  </si>
  <si>
    <t>SM</t>
  </si>
  <si>
    <t>TaxCo</t>
  </si>
  <si>
    <t>Taxco</t>
  </si>
  <si>
    <t>TKM Advisor</t>
  </si>
  <si>
    <t>TKM</t>
  </si>
  <si>
    <t>Tony Mauro</t>
  </si>
  <si>
    <t>TM</t>
  </si>
  <si>
    <t>Wells Coleman</t>
  </si>
  <si>
    <t>WC</t>
  </si>
  <si>
    <t>Yan Valdes</t>
  </si>
  <si>
    <t>YV</t>
  </si>
  <si>
    <t>Contracted</t>
  </si>
  <si>
    <t>Ind</t>
  </si>
  <si>
    <t>Bus</t>
  </si>
  <si>
    <t>Tot</t>
  </si>
  <si>
    <t>Malikah Anderson</t>
  </si>
  <si>
    <t>Dan Zigo</t>
  </si>
  <si>
    <t>DZ</t>
  </si>
  <si>
    <t>MA</t>
  </si>
  <si>
    <t>Michael Vergara</t>
  </si>
  <si>
    <t>MV</t>
  </si>
  <si>
    <t>To be received</t>
  </si>
  <si>
    <t>Received Till date</t>
  </si>
  <si>
    <t>Total</t>
  </si>
  <si>
    <t>3 FTE</t>
  </si>
  <si>
    <t>2 FTE</t>
  </si>
  <si>
    <t>1 FTE</t>
  </si>
  <si>
    <t>2 Prep</t>
  </si>
  <si>
    <t>FTE</t>
  </si>
  <si>
    <t>Received as of 03/09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</si>
</sst>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0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showGridLines="0" tabSelected="1" topLeftCell="B40" zoomScaleNormal="100" zoomScaleSheetLayoutView="115" workbookViewId="0">
      <selection activeCell="L53" sqref="L53:L55"/>
    </sheetView>
  </sheetViews>
  <sheetFormatPr defaultRowHeight="15" x14ac:dyDescent="0.25"/>
  <cols>
    <col min="1" max="1" width="28.42578125" customWidth="1"/>
    <col min="2" max="2" width="10" style="1" bestFit="1" customWidth="1"/>
    <col min="3" max="3" width="11" style="1" customWidth="1"/>
    <col min="4" max="4" width="13.28515625" style="1" bestFit="1" customWidth="1"/>
    <col min="5" max="9" width="9.140625" style="1"/>
    <col min="10" max="12" width="9.140625" style="9"/>
  </cols>
  <sheetData>
    <row r="1" spans="1:13" x14ac:dyDescent="0.25">
      <c r="A1" s="7" t="s">
        <v>0</v>
      </c>
      <c r="B1" s="7" t="s">
        <v>1</v>
      </c>
      <c r="C1" s="7" t="s">
        <v>2</v>
      </c>
      <c r="D1" s="14" t="s">
        <v>104</v>
      </c>
      <c r="E1" s="14"/>
      <c r="F1" s="14"/>
      <c r="G1" s="14" t="s">
        <v>122</v>
      </c>
      <c r="H1" s="14"/>
      <c r="I1" s="14"/>
      <c r="J1" s="14" t="s">
        <v>114</v>
      </c>
      <c r="K1" s="14"/>
      <c r="L1" s="14"/>
    </row>
    <row r="2" spans="1:13" s="2" customFormat="1" x14ac:dyDescent="0.25">
      <c r="A2" s="5"/>
      <c r="B2" s="6"/>
      <c r="C2" s="6"/>
      <c r="D2" s="6" t="s">
        <v>105</v>
      </c>
      <c r="E2" s="6" t="s">
        <v>106</v>
      </c>
      <c r="F2" s="6" t="s">
        <v>107</v>
      </c>
      <c r="G2" s="6" t="s">
        <v>105</v>
      </c>
      <c r="H2" s="6" t="s">
        <v>106</v>
      </c>
      <c r="I2" s="6" t="s">
        <v>107</v>
      </c>
      <c r="J2" s="8" t="s">
        <v>105</v>
      </c>
      <c r="K2" s="8" t="s">
        <v>106</v>
      </c>
      <c r="L2" s="8" t="s">
        <v>107</v>
      </c>
    </row>
    <row r="3" spans="1:13" x14ac:dyDescent="0.25">
      <c r="A3" s="3" t="s">
        <v>4</v>
      </c>
      <c r="B3" s="4" t="s">
        <v>5</v>
      </c>
      <c r="C3" s="4" t="s">
        <v>3</v>
      </c>
      <c r="D3" s="4">
        <v>51</v>
      </c>
      <c r="E3" s="4">
        <v>100</v>
      </c>
      <c r="F3" s="4">
        <f>+D3+E3</f>
        <v>151</v>
      </c>
      <c r="G3" s="4">
        <v>2</v>
      </c>
      <c r="H3" s="4">
        <v>51</v>
      </c>
      <c r="I3" s="4">
        <f>+G3+H3</f>
        <v>53</v>
      </c>
      <c r="J3" s="8">
        <f>+D3-G3</f>
        <v>49</v>
      </c>
      <c r="K3" s="8">
        <f>+E3-H3</f>
        <v>49</v>
      </c>
      <c r="L3" s="8">
        <f>+J3+K3</f>
        <v>98</v>
      </c>
      <c r="M3" s="13">
        <f>+I3/F3</f>
        <v>0.35099337748344372</v>
      </c>
    </row>
    <row r="4" spans="1:13" x14ac:dyDescent="0.25">
      <c r="A4" s="3" t="s">
        <v>6</v>
      </c>
      <c r="B4" s="4" t="s">
        <v>7</v>
      </c>
      <c r="C4" s="4" t="s">
        <v>3</v>
      </c>
      <c r="D4" s="4">
        <v>0</v>
      </c>
      <c r="E4" s="4">
        <v>400</v>
      </c>
      <c r="F4" s="4">
        <f t="shared" ref="F4:F13" si="0">+D4+E4</f>
        <v>400</v>
      </c>
      <c r="G4" s="4">
        <v>0</v>
      </c>
      <c r="H4" s="4">
        <v>220</v>
      </c>
      <c r="I4" s="4">
        <f t="shared" ref="I4:I50" si="1">+G4+H4</f>
        <v>220</v>
      </c>
      <c r="J4" s="8">
        <f t="shared" ref="J4:J50" si="2">+D4-G4</f>
        <v>0</v>
      </c>
      <c r="K4" s="8">
        <f t="shared" ref="K4:K50" si="3">+E4-H4</f>
        <v>180</v>
      </c>
      <c r="L4" s="8">
        <f t="shared" ref="L4:L50" si="4">+J4+K4</f>
        <v>180</v>
      </c>
      <c r="M4" s="13">
        <f t="shared" ref="M4:M51" si="5">+I4/F4</f>
        <v>0.55000000000000004</v>
      </c>
    </row>
    <row r="5" spans="1:13" x14ac:dyDescent="0.25">
      <c r="A5" s="3" t="s">
        <v>8</v>
      </c>
      <c r="B5" s="4" t="s">
        <v>9</v>
      </c>
      <c r="C5" s="4" t="s">
        <v>3</v>
      </c>
      <c r="D5" s="4">
        <v>30</v>
      </c>
      <c r="E5" s="4">
        <v>200</v>
      </c>
      <c r="F5" s="4">
        <f t="shared" si="0"/>
        <v>230</v>
      </c>
      <c r="G5" s="4">
        <v>0</v>
      </c>
      <c r="H5" s="4">
        <v>127</v>
      </c>
      <c r="I5" s="4">
        <f t="shared" si="1"/>
        <v>127</v>
      </c>
      <c r="J5" s="8">
        <f t="shared" si="2"/>
        <v>30</v>
      </c>
      <c r="K5" s="8">
        <f t="shared" si="3"/>
        <v>73</v>
      </c>
      <c r="L5" s="8">
        <f t="shared" si="4"/>
        <v>103</v>
      </c>
      <c r="M5" s="13">
        <f t="shared" si="5"/>
        <v>0.55217391304347829</v>
      </c>
    </row>
    <row r="6" spans="1:13" x14ac:dyDescent="0.25">
      <c r="A6" s="11" t="s">
        <v>10</v>
      </c>
      <c r="B6" s="12" t="s">
        <v>11</v>
      </c>
      <c r="C6" s="12" t="s">
        <v>3</v>
      </c>
      <c r="D6" s="12">
        <v>0</v>
      </c>
      <c r="E6" s="12">
        <v>0</v>
      </c>
      <c r="F6" s="12">
        <f t="shared" si="0"/>
        <v>0</v>
      </c>
      <c r="G6" s="12">
        <v>1</v>
      </c>
      <c r="H6" s="12">
        <v>0</v>
      </c>
      <c r="I6" s="12">
        <f t="shared" si="1"/>
        <v>1</v>
      </c>
      <c r="J6" s="7">
        <f t="shared" si="2"/>
        <v>-1</v>
      </c>
      <c r="K6" s="7">
        <f t="shared" si="3"/>
        <v>0</v>
      </c>
      <c r="L6" s="7">
        <f t="shared" si="4"/>
        <v>-1</v>
      </c>
      <c r="M6" s="13"/>
    </row>
    <row r="7" spans="1:13" x14ac:dyDescent="0.25">
      <c r="A7" s="3" t="s">
        <v>12</v>
      </c>
      <c r="B7" s="4" t="s">
        <v>13</v>
      </c>
      <c r="C7" s="4" t="s">
        <v>3</v>
      </c>
      <c r="D7" s="4">
        <v>60</v>
      </c>
      <c r="E7" s="4">
        <v>40</v>
      </c>
      <c r="F7" s="4">
        <f t="shared" si="0"/>
        <v>100</v>
      </c>
      <c r="G7" s="4">
        <v>6</v>
      </c>
      <c r="H7" s="4">
        <v>3</v>
      </c>
      <c r="I7" s="4">
        <f t="shared" si="1"/>
        <v>9</v>
      </c>
      <c r="J7" s="8">
        <f t="shared" si="2"/>
        <v>54</v>
      </c>
      <c r="K7" s="8">
        <f t="shared" si="3"/>
        <v>37</v>
      </c>
      <c r="L7" s="8">
        <f t="shared" si="4"/>
        <v>91</v>
      </c>
      <c r="M7" s="13">
        <f t="shared" si="5"/>
        <v>0.09</v>
      </c>
    </row>
    <row r="8" spans="1:13" x14ac:dyDescent="0.25">
      <c r="A8" s="3" t="s">
        <v>14</v>
      </c>
      <c r="B8" s="4" t="s">
        <v>15</v>
      </c>
      <c r="C8" s="4" t="s">
        <v>3</v>
      </c>
      <c r="D8" s="4">
        <v>60</v>
      </c>
      <c r="E8" s="4">
        <v>40</v>
      </c>
      <c r="F8" s="4">
        <f t="shared" si="0"/>
        <v>100</v>
      </c>
      <c r="G8" s="4">
        <v>8</v>
      </c>
      <c r="H8" s="4">
        <v>0</v>
      </c>
      <c r="I8" s="4">
        <f t="shared" si="1"/>
        <v>8</v>
      </c>
      <c r="J8" s="8">
        <f t="shared" si="2"/>
        <v>52</v>
      </c>
      <c r="K8" s="8">
        <f t="shared" si="3"/>
        <v>40</v>
      </c>
      <c r="L8" s="8">
        <f t="shared" si="4"/>
        <v>92</v>
      </c>
      <c r="M8" s="13">
        <f t="shared" si="5"/>
        <v>0.08</v>
      </c>
    </row>
    <row r="9" spans="1:13" x14ac:dyDescent="0.25">
      <c r="A9" s="3" t="s">
        <v>16</v>
      </c>
      <c r="B9" s="4" t="s">
        <v>17</v>
      </c>
      <c r="C9" s="4" t="s">
        <v>3</v>
      </c>
      <c r="D9" s="4">
        <v>65</v>
      </c>
      <c r="E9" s="4">
        <v>35</v>
      </c>
      <c r="F9" s="4">
        <f t="shared" si="0"/>
        <v>100</v>
      </c>
      <c r="G9" s="4">
        <v>0</v>
      </c>
      <c r="H9" s="4">
        <v>0</v>
      </c>
      <c r="I9" s="4">
        <f t="shared" si="1"/>
        <v>0</v>
      </c>
      <c r="J9" s="8">
        <f t="shared" si="2"/>
        <v>65</v>
      </c>
      <c r="K9" s="8">
        <f t="shared" si="3"/>
        <v>35</v>
      </c>
      <c r="L9" s="8">
        <f t="shared" si="4"/>
        <v>100</v>
      </c>
      <c r="M9" s="13">
        <f t="shared" si="5"/>
        <v>0</v>
      </c>
    </row>
    <row r="10" spans="1:13" x14ac:dyDescent="0.25">
      <c r="A10" s="3" t="s">
        <v>18</v>
      </c>
      <c r="B10" s="4" t="s">
        <v>19</v>
      </c>
      <c r="C10" s="4" t="s">
        <v>3</v>
      </c>
      <c r="D10" s="4">
        <v>200</v>
      </c>
      <c r="E10" s="4">
        <v>0</v>
      </c>
      <c r="F10" s="4">
        <f t="shared" si="0"/>
        <v>200</v>
      </c>
      <c r="G10" s="4">
        <v>65</v>
      </c>
      <c r="H10" s="4">
        <v>1</v>
      </c>
      <c r="I10" s="4">
        <f t="shared" si="1"/>
        <v>66</v>
      </c>
      <c r="J10" s="8">
        <f t="shared" si="2"/>
        <v>135</v>
      </c>
      <c r="K10" s="8">
        <f t="shared" si="3"/>
        <v>-1</v>
      </c>
      <c r="L10" s="8">
        <f t="shared" si="4"/>
        <v>134</v>
      </c>
      <c r="M10" s="13">
        <f t="shared" si="5"/>
        <v>0.33</v>
      </c>
    </row>
    <row r="11" spans="1:13" x14ac:dyDescent="0.25">
      <c r="A11" s="3" t="s">
        <v>20</v>
      </c>
      <c r="B11" s="4" t="s">
        <v>21</v>
      </c>
      <c r="C11" s="4" t="s">
        <v>3</v>
      </c>
      <c r="D11" s="4">
        <v>115</v>
      </c>
      <c r="E11" s="4">
        <v>70</v>
      </c>
      <c r="F11" s="4">
        <f t="shared" si="0"/>
        <v>185</v>
      </c>
      <c r="G11" s="4">
        <v>35</v>
      </c>
      <c r="H11" s="4">
        <v>55</v>
      </c>
      <c r="I11" s="4">
        <f t="shared" si="1"/>
        <v>90</v>
      </c>
      <c r="J11" s="8">
        <f t="shared" si="2"/>
        <v>80</v>
      </c>
      <c r="K11" s="8">
        <f t="shared" si="3"/>
        <v>15</v>
      </c>
      <c r="L11" s="8">
        <f t="shared" si="4"/>
        <v>95</v>
      </c>
      <c r="M11" s="13">
        <f t="shared" si="5"/>
        <v>0.48648648648648651</v>
      </c>
    </row>
    <row r="12" spans="1:13" x14ac:dyDescent="0.25">
      <c r="A12" s="3" t="s">
        <v>22</v>
      </c>
      <c r="B12" s="4" t="s">
        <v>23</v>
      </c>
      <c r="C12" s="4" t="s">
        <v>3</v>
      </c>
      <c r="D12" s="4">
        <v>100</v>
      </c>
      <c r="E12" s="4">
        <v>0</v>
      </c>
      <c r="F12" s="4">
        <f t="shared" si="0"/>
        <v>100</v>
      </c>
      <c r="G12" s="4">
        <v>20</v>
      </c>
      <c r="H12" s="4">
        <v>0</v>
      </c>
      <c r="I12" s="4">
        <f t="shared" si="1"/>
        <v>20</v>
      </c>
      <c r="J12" s="8">
        <f t="shared" si="2"/>
        <v>80</v>
      </c>
      <c r="K12" s="8">
        <f t="shared" si="3"/>
        <v>0</v>
      </c>
      <c r="L12" s="8">
        <f t="shared" si="4"/>
        <v>80</v>
      </c>
      <c r="M12" s="13">
        <f t="shared" si="5"/>
        <v>0.2</v>
      </c>
    </row>
    <row r="13" spans="1:13" x14ac:dyDescent="0.25">
      <c r="A13" s="3" t="s">
        <v>24</v>
      </c>
      <c r="B13" s="4" t="s">
        <v>25</v>
      </c>
      <c r="C13" s="4" t="s">
        <v>3</v>
      </c>
      <c r="D13" s="4">
        <v>10</v>
      </c>
      <c r="E13" s="4">
        <v>10</v>
      </c>
      <c r="F13" s="4">
        <f t="shared" si="0"/>
        <v>20</v>
      </c>
      <c r="G13" s="4">
        <v>2</v>
      </c>
      <c r="H13" s="4">
        <v>0</v>
      </c>
      <c r="I13" s="4">
        <f t="shared" si="1"/>
        <v>2</v>
      </c>
      <c r="J13" s="8">
        <f t="shared" si="2"/>
        <v>8</v>
      </c>
      <c r="K13" s="8">
        <f t="shared" si="3"/>
        <v>10</v>
      </c>
      <c r="L13" s="8">
        <f t="shared" si="4"/>
        <v>18</v>
      </c>
      <c r="M13" s="13">
        <f t="shared" si="5"/>
        <v>0.1</v>
      </c>
    </row>
    <row r="14" spans="1:13" x14ac:dyDescent="0.25">
      <c r="A14" s="3" t="s">
        <v>28</v>
      </c>
      <c r="B14" s="4" t="s">
        <v>29</v>
      </c>
      <c r="C14" s="4" t="s">
        <v>3</v>
      </c>
      <c r="D14" s="4">
        <v>15</v>
      </c>
      <c r="E14" s="4">
        <v>10</v>
      </c>
      <c r="F14" s="4">
        <f t="shared" ref="F14:F45" si="6">+D14+E14</f>
        <v>25</v>
      </c>
      <c r="G14" s="4">
        <v>6</v>
      </c>
      <c r="H14" s="4">
        <v>8</v>
      </c>
      <c r="I14" s="4">
        <f t="shared" si="1"/>
        <v>14</v>
      </c>
      <c r="J14" s="8">
        <f t="shared" si="2"/>
        <v>9</v>
      </c>
      <c r="K14" s="8">
        <f t="shared" si="3"/>
        <v>2</v>
      </c>
      <c r="L14" s="8">
        <f t="shared" si="4"/>
        <v>11</v>
      </c>
      <c r="M14" s="13">
        <f t="shared" si="5"/>
        <v>0.56000000000000005</v>
      </c>
    </row>
    <row r="15" spans="1:13" x14ac:dyDescent="0.25">
      <c r="A15" s="3" t="s">
        <v>30</v>
      </c>
      <c r="B15" s="4" t="s">
        <v>31</v>
      </c>
      <c r="C15" s="4" t="s">
        <v>3</v>
      </c>
      <c r="D15" s="4">
        <v>0</v>
      </c>
      <c r="E15" s="4">
        <v>150</v>
      </c>
      <c r="F15" s="4">
        <f t="shared" si="6"/>
        <v>150</v>
      </c>
      <c r="G15" s="4">
        <v>0</v>
      </c>
      <c r="H15" s="4">
        <v>65</v>
      </c>
      <c r="I15" s="4">
        <f t="shared" si="1"/>
        <v>65</v>
      </c>
      <c r="J15" s="8">
        <f t="shared" si="2"/>
        <v>0</v>
      </c>
      <c r="K15" s="8">
        <f t="shared" si="3"/>
        <v>85</v>
      </c>
      <c r="L15" s="8">
        <f t="shared" si="4"/>
        <v>85</v>
      </c>
      <c r="M15" s="13">
        <f t="shared" si="5"/>
        <v>0.43333333333333335</v>
      </c>
    </row>
    <row r="16" spans="1:13" x14ac:dyDescent="0.25">
      <c r="A16" s="3" t="s">
        <v>32</v>
      </c>
      <c r="B16" s="4" t="s">
        <v>33</v>
      </c>
      <c r="C16" s="4" t="s">
        <v>3</v>
      </c>
      <c r="D16" s="4">
        <v>0</v>
      </c>
      <c r="E16" s="4">
        <v>200</v>
      </c>
      <c r="F16" s="4">
        <f t="shared" si="6"/>
        <v>200</v>
      </c>
      <c r="G16" s="4">
        <v>0</v>
      </c>
      <c r="H16" s="4">
        <v>55</v>
      </c>
      <c r="I16" s="4">
        <f t="shared" si="1"/>
        <v>55</v>
      </c>
      <c r="J16" s="8">
        <f t="shared" si="2"/>
        <v>0</v>
      </c>
      <c r="K16" s="8">
        <f t="shared" si="3"/>
        <v>145</v>
      </c>
      <c r="L16" s="8">
        <f t="shared" si="4"/>
        <v>145</v>
      </c>
      <c r="M16" s="13">
        <f t="shared" si="5"/>
        <v>0.27500000000000002</v>
      </c>
    </row>
    <row r="17" spans="1:13" x14ac:dyDescent="0.25">
      <c r="A17" s="3" t="s">
        <v>34</v>
      </c>
      <c r="B17" s="4" t="s">
        <v>35</v>
      </c>
      <c r="C17" s="4" t="s">
        <v>3</v>
      </c>
      <c r="D17" s="4">
        <v>75</v>
      </c>
      <c r="E17" s="4">
        <v>75</v>
      </c>
      <c r="F17" s="4">
        <f t="shared" si="6"/>
        <v>150</v>
      </c>
      <c r="G17" s="4">
        <v>19</v>
      </c>
      <c r="H17" s="4">
        <v>15</v>
      </c>
      <c r="I17" s="4">
        <f t="shared" si="1"/>
        <v>34</v>
      </c>
      <c r="J17" s="8">
        <f t="shared" si="2"/>
        <v>56</v>
      </c>
      <c r="K17" s="8">
        <f t="shared" si="3"/>
        <v>60</v>
      </c>
      <c r="L17" s="8">
        <f t="shared" si="4"/>
        <v>116</v>
      </c>
      <c r="M17" s="13">
        <f t="shared" si="5"/>
        <v>0.22666666666666666</v>
      </c>
    </row>
    <row r="18" spans="1:13" x14ac:dyDescent="0.25">
      <c r="A18" s="3" t="s">
        <v>36</v>
      </c>
      <c r="B18" s="4" t="s">
        <v>37</v>
      </c>
      <c r="C18" s="4" t="s">
        <v>3</v>
      </c>
      <c r="D18" s="4">
        <v>75</v>
      </c>
      <c r="E18" s="4">
        <v>25</v>
      </c>
      <c r="F18" s="4">
        <f t="shared" si="6"/>
        <v>100</v>
      </c>
      <c r="G18" s="4">
        <v>1</v>
      </c>
      <c r="H18" s="4">
        <v>5</v>
      </c>
      <c r="I18" s="4">
        <f t="shared" si="1"/>
        <v>6</v>
      </c>
      <c r="J18" s="8">
        <f t="shared" si="2"/>
        <v>74</v>
      </c>
      <c r="K18" s="8">
        <f t="shared" si="3"/>
        <v>20</v>
      </c>
      <c r="L18" s="8">
        <f t="shared" si="4"/>
        <v>94</v>
      </c>
      <c r="M18" s="13">
        <f t="shared" si="5"/>
        <v>0.06</v>
      </c>
    </row>
    <row r="19" spans="1:13" x14ac:dyDescent="0.25">
      <c r="A19" s="3" t="s">
        <v>38</v>
      </c>
      <c r="B19" s="4" t="s">
        <v>39</v>
      </c>
      <c r="C19" s="4" t="s">
        <v>3</v>
      </c>
      <c r="D19" s="4">
        <v>100</v>
      </c>
      <c r="E19" s="4">
        <v>50</v>
      </c>
      <c r="F19" s="4">
        <f t="shared" si="6"/>
        <v>150</v>
      </c>
      <c r="G19" s="4">
        <v>37</v>
      </c>
      <c r="H19" s="4">
        <v>0</v>
      </c>
      <c r="I19" s="4">
        <f t="shared" si="1"/>
        <v>37</v>
      </c>
      <c r="J19" s="8">
        <f t="shared" si="2"/>
        <v>63</v>
      </c>
      <c r="K19" s="8">
        <f t="shared" si="3"/>
        <v>50</v>
      </c>
      <c r="L19" s="8">
        <f t="shared" si="4"/>
        <v>113</v>
      </c>
      <c r="M19" s="13">
        <f t="shared" si="5"/>
        <v>0.24666666666666667</v>
      </c>
    </row>
    <row r="20" spans="1:13" x14ac:dyDescent="0.25">
      <c r="A20" s="11" t="s">
        <v>40</v>
      </c>
      <c r="B20" s="12" t="s">
        <v>41</v>
      </c>
      <c r="C20" s="12" t="s">
        <v>3</v>
      </c>
      <c r="D20" s="12">
        <v>0</v>
      </c>
      <c r="E20" s="12">
        <v>0</v>
      </c>
      <c r="F20" s="12">
        <f t="shared" si="6"/>
        <v>0</v>
      </c>
      <c r="G20" s="12">
        <v>0</v>
      </c>
      <c r="H20" s="12">
        <v>6</v>
      </c>
      <c r="I20" s="12">
        <f t="shared" si="1"/>
        <v>6</v>
      </c>
      <c r="J20" s="7">
        <f t="shared" si="2"/>
        <v>0</v>
      </c>
      <c r="K20" s="7">
        <f t="shared" si="3"/>
        <v>-6</v>
      </c>
      <c r="L20" s="7">
        <f t="shared" si="4"/>
        <v>-6</v>
      </c>
      <c r="M20" s="13"/>
    </row>
    <row r="21" spans="1:13" x14ac:dyDescent="0.25">
      <c r="A21" s="3" t="s">
        <v>42</v>
      </c>
      <c r="B21" s="4" t="s">
        <v>43</v>
      </c>
      <c r="C21" s="4" t="s">
        <v>3</v>
      </c>
      <c r="D21" s="4">
        <v>250</v>
      </c>
      <c r="E21" s="4">
        <v>40</v>
      </c>
      <c r="F21" s="4">
        <f t="shared" si="6"/>
        <v>290</v>
      </c>
      <c r="G21" s="4">
        <v>34</v>
      </c>
      <c r="H21" s="4">
        <v>16</v>
      </c>
      <c r="I21" s="4">
        <f t="shared" si="1"/>
        <v>50</v>
      </c>
      <c r="J21" s="8">
        <f t="shared" si="2"/>
        <v>216</v>
      </c>
      <c r="K21" s="8">
        <f t="shared" si="3"/>
        <v>24</v>
      </c>
      <c r="L21" s="8">
        <f t="shared" si="4"/>
        <v>240</v>
      </c>
      <c r="M21" s="13">
        <f t="shared" si="5"/>
        <v>0.17241379310344829</v>
      </c>
    </row>
    <row r="22" spans="1:13" x14ac:dyDescent="0.25">
      <c r="A22" s="3" t="s">
        <v>44</v>
      </c>
      <c r="B22" s="4" t="s">
        <v>45</v>
      </c>
      <c r="C22" s="4" t="s">
        <v>3</v>
      </c>
      <c r="D22" s="4">
        <v>20</v>
      </c>
      <c r="E22" s="4">
        <v>10</v>
      </c>
      <c r="F22" s="4">
        <f t="shared" si="6"/>
        <v>30</v>
      </c>
      <c r="G22" s="4">
        <v>0</v>
      </c>
      <c r="H22" s="4">
        <v>0</v>
      </c>
      <c r="I22" s="4">
        <f t="shared" si="1"/>
        <v>0</v>
      </c>
      <c r="J22" s="8">
        <f t="shared" si="2"/>
        <v>20</v>
      </c>
      <c r="K22" s="8">
        <f t="shared" si="3"/>
        <v>10</v>
      </c>
      <c r="L22" s="8">
        <f t="shared" si="4"/>
        <v>30</v>
      </c>
      <c r="M22" s="13">
        <f t="shared" si="5"/>
        <v>0</v>
      </c>
    </row>
    <row r="23" spans="1:13" x14ac:dyDescent="0.25">
      <c r="A23" s="3" t="s">
        <v>46</v>
      </c>
      <c r="B23" s="4" t="s">
        <v>47</v>
      </c>
      <c r="C23" s="4" t="s">
        <v>3</v>
      </c>
      <c r="D23" s="4">
        <v>500</v>
      </c>
      <c r="E23" s="4"/>
      <c r="F23" s="4">
        <f t="shared" si="6"/>
        <v>500</v>
      </c>
      <c r="G23" s="4">
        <v>363</v>
      </c>
      <c r="H23" s="4">
        <v>0</v>
      </c>
      <c r="I23" s="4">
        <f t="shared" si="1"/>
        <v>363</v>
      </c>
      <c r="J23" s="8">
        <f t="shared" si="2"/>
        <v>137</v>
      </c>
      <c r="K23" s="8">
        <f t="shared" si="3"/>
        <v>0</v>
      </c>
      <c r="L23" s="8">
        <f t="shared" si="4"/>
        <v>137</v>
      </c>
      <c r="M23" s="13">
        <f t="shared" si="5"/>
        <v>0.72599999999999998</v>
      </c>
    </row>
    <row r="24" spans="1:13" x14ac:dyDescent="0.25">
      <c r="A24" s="3" t="s">
        <v>52</v>
      </c>
      <c r="B24" s="4" t="s">
        <v>53</v>
      </c>
      <c r="C24" s="4" t="s">
        <v>3</v>
      </c>
      <c r="D24" s="4">
        <v>200</v>
      </c>
      <c r="E24" s="4">
        <v>125</v>
      </c>
      <c r="F24" s="4">
        <f t="shared" si="6"/>
        <v>325</v>
      </c>
      <c r="G24" s="4">
        <v>11</v>
      </c>
      <c r="H24" s="4">
        <v>23</v>
      </c>
      <c r="I24" s="4">
        <f t="shared" si="1"/>
        <v>34</v>
      </c>
      <c r="J24" s="8">
        <f t="shared" si="2"/>
        <v>189</v>
      </c>
      <c r="K24" s="8">
        <f t="shared" si="3"/>
        <v>102</v>
      </c>
      <c r="L24" s="8">
        <f t="shared" si="4"/>
        <v>291</v>
      </c>
      <c r="M24" s="13">
        <f t="shared" si="5"/>
        <v>0.10461538461538461</v>
      </c>
    </row>
    <row r="25" spans="1:13" x14ac:dyDescent="0.25">
      <c r="A25" s="3" t="s">
        <v>54</v>
      </c>
      <c r="B25" s="4" t="s">
        <v>55</v>
      </c>
      <c r="C25" s="4" t="s">
        <v>3</v>
      </c>
      <c r="D25" s="4">
        <v>80</v>
      </c>
      <c r="E25" s="4">
        <v>20</v>
      </c>
      <c r="F25" s="4">
        <f t="shared" si="6"/>
        <v>100</v>
      </c>
      <c r="G25" s="4">
        <v>0</v>
      </c>
      <c r="H25" s="4">
        <v>5</v>
      </c>
      <c r="I25" s="4">
        <f t="shared" si="1"/>
        <v>5</v>
      </c>
      <c r="J25" s="8">
        <f t="shared" si="2"/>
        <v>80</v>
      </c>
      <c r="K25" s="8">
        <f t="shared" si="3"/>
        <v>15</v>
      </c>
      <c r="L25" s="8">
        <f t="shared" si="4"/>
        <v>95</v>
      </c>
      <c r="M25" s="13">
        <f t="shared" si="5"/>
        <v>0.05</v>
      </c>
    </row>
    <row r="26" spans="1:13" x14ac:dyDescent="0.25">
      <c r="A26" s="3" t="s">
        <v>58</v>
      </c>
      <c r="B26" s="4" t="s">
        <v>59</v>
      </c>
      <c r="C26" s="4" t="s">
        <v>3</v>
      </c>
      <c r="D26" s="4">
        <v>75</v>
      </c>
      <c r="E26" s="4">
        <v>75</v>
      </c>
      <c r="F26" s="4">
        <f t="shared" si="6"/>
        <v>150</v>
      </c>
      <c r="G26" s="4">
        <v>12</v>
      </c>
      <c r="H26" s="4">
        <v>36</v>
      </c>
      <c r="I26" s="4">
        <f t="shared" si="1"/>
        <v>48</v>
      </c>
      <c r="J26" s="8">
        <f t="shared" si="2"/>
        <v>63</v>
      </c>
      <c r="K26" s="8">
        <f t="shared" si="3"/>
        <v>39</v>
      </c>
      <c r="L26" s="8">
        <f t="shared" si="4"/>
        <v>102</v>
      </c>
      <c r="M26" s="13">
        <f t="shared" si="5"/>
        <v>0.32</v>
      </c>
    </row>
    <row r="27" spans="1:13" x14ac:dyDescent="0.25">
      <c r="A27" s="3" t="s">
        <v>60</v>
      </c>
      <c r="B27" s="4" t="s">
        <v>61</v>
      </c>
      <c r="C27" s="4" t="s">
        <v>3</v>
      </c>
      <c r="D27" s="4">
        <v>300</v>
      </c>
      <c r="E27" s="4">
        <v>0</v>
      </c>
      <c r="F27" s="4">
        <f t="shared" si="6"/>
        <v>300</v>
      </c>
      <c r="G27" s="4">
        <v>72</v>
      </c>
      <c r="H27" s="4">
        <v>0</v>
      </c>
      <c r="I27" s="4">
        <f t="shared" si="1"/>
        <v>72</v>
      </c>
      <c r="J27" s="8">
        <f t="shared" si="2"/>
        <v>228</v>
      </c>
      <c r="K27" s="8">
        <f t="shared" si="3"/>
        <v>0</v>
      </c>
      <c r="L27" s="8">
        <f t="shared" si="4"/>
        <v>228</v>
      </c>
      <c r="M27" s="13">
        <f t="shared" si="5"/>
        <v>0.24</v>
      </c>
    </row>
    <row r="28" spans="1:13" x14ac:dyDescent="0.25">
      <c r="A28" s="3" t="s">
        <v>62</v>
      </c>
      <c r="B28" s="4" t="s">
        <v>63</v>
      </c>
      <c r="C28" s="4" t="s">
        <v>3</v>
      </c>
      <c r="D28" s="4">
        <v>0</v>
      </c>
      <c r="E28" s="4">
        <v>100</v>
      </c>
      <c r="F28" s="4">
        <f t="shared" si="6"/>
        <v>100</v>
      </c>
      <c r="G28" s="4">
        <v>0</v>
      </c>
      <c r="H28" s="4">
        <v>49</v>
      </c>
      <c r="I28" s="4">
        <f t="shared" si="1"/>
        <v>49</v>
      </c>
      <c r="J28" s="8">
        <f t="shared" si="2"/>
        <v>0</v>
      </c>
      <c r="K28" s="8">
        <f t="shared" si="3"/>
        <v>51</v>
      </c>
      <c r="L28" s="8">
        <f t="shared" si="4"/>
        <v>51</v>
      </c>
      <c r="M28" s="13">
        <f t="shared" si="5"/>
        <v>0.49</v>
      </c>
    </row>
    <row r="29" spans="1:13" x14ac:dyDescent="0.25">
      <c r="A29" s="3" t="s">
        <v>64</v>
      </c>
      <c r="B29" s="4" t="s">
        <v>65</v>
      </c>
      <c r="C29" s="4" t="s">
        <v>3</v>
      </c>
      <c r="D29" s="4">
        <v>70</v>
      </c>
      <c r="E29" s="4">
        <v>80</v>
      </c>
      <c r="F29" s="4">
        <f t="shared" si="6"/>
        <v>150</v>
      </c>
      <c r="G29" s="4">
        <v>2</v>
      </c>
      <c r="H29" s="4">
        <v>9</v>
      </c>
      <c r="I29" s="4">
        <f t="shared" si="1"/>
        <v>11</v>
      </c>
      <c r="J29" s="8">
        <f t="shared" si="2"/>
        <v>68</v>
      </c>
      <c r="K29" s="8">
        <f t="shared" si="3"/>
        <v>71</v>
      </c>
      <c r="L29" s="8">
        <f t="shared" si="4"/>
        <v>139</v>
      </c>
      <c r="M29" s="13">
        <f t="shared" si="5"/>
        <v>7.3333333333333334E-2</v>
      </c>
    </row>
    <row r="30" spans="1:13" x14ac:dyDescent="0.25">
      <c r="A30" s="3" t="s">
        <v>66</v>
      </c>
      <c r="B30" s="4" t="s">
        <v>67</v>
      </c>
      <c r="C30" s="4" t="s">
        <v>3</v>
      </c>
      <c r="D30" s="4">
        <v>75</v>
      </c>
      <c r="E30" s="4">
        <v>55</v>
      </c>
      <c r="F30" s="4">
        <f t="shared" si="6"/>
        <v>130</v>
      </c>
      <c r="G30" s="4">
        <v>29</v>
      </c>
      <c r="H30" s="4">
        <v>35</v>
      </c>
      <c r="I30" s="4">
        <f t="shared" si="1"/>
        <v>64</v>
      </c>
      <c r="J30" s="8">
        <f t="shared" si="2"/>
        <v>46</v>
      </c>
      <c r="K30" s="8">
        <f t="shared" si="3"/>
        <v>20</v>
      </c>
      <c r="L30" s="8">
        <f t="shared" si="4"/>
        <v>66</v>
      </c>
      <c r="M30" s="13">
        <f t="shared" si="5"/>
        <v>0.49230769230769234</v>
      </c>
    </row>
    <row r="31" spans="1:13" x14ac:dyDescent="0.25">
      <c r="A31" s="3" t="s">
        <v>68</v>
      </c>
      <c r="B31" s="4" t="s">
        <v>69</v>
      </c>
      <c r="C31" s="4" t="s">
        <v>3</v>
      </c>
      <c r="D31" s="4">
        <v>300</v>
      </c>
      <c r="E31" s="4">
        <v>200</v>
      </c>
      <c r="F31" s="4">
        <f t="shared" si="6"/>
        <v>500</v>
      </c>
      <c r="G31" s="4">
        <v>0</v>
      </c>
      <c r="H31" s="4">
        <v>0</v>
      </c>
      <c r="I31" s="4">
        <f t="shared" si="1"/>
        <v>0</v>
      </c>
      <c r="J31" s="8">
        <f t="shared" si="2"/>
        <v>300</v>
      </c>
      <c r="K31" s="8">
        <f t="shared" si="3"/>
        <v>200</v>
      </c>
      <c r="L31" s="8">
        <f t="shared" si="4"/>
        <v>500</v>
      </c>
      <c r="M31" s="13">
        <f t="shared" si="5"/>
        <v>0</v>
      </c>
    </row>
    <row r="32" spans="1:13" x14ac:dyDescent="0.25">
      <c r="A32" s="3" t="s">
        <v>70</v>
      </c>
      <c r="B32" s="4" t="s">
        <v>71</v>
      </c>
      <c r="C32" s="4" t="s">
        <v>3</v>
      </c>
      <c r="D32" s="4">
        <v>15</v>
      </c>
      <c r="E32" s="4">
        <v>40</v>
      </c>
      <c r="F32" s="4">
        <f t="shared" si="6"/>
        <v>55</v>
      </c>
      <c r="G32" s="4">
        <v>0</v>
      </c>
      <c r="H32" s="4">
        <v>32</v>
      </c>
      <c r="I32" s="4">
        <f t="shared" si="1"/>
        <v>32</v>
      </c>
      <c r="J32" s="8">
        <f t="shared" si="2"/>
        <v>15</v>
      </c>
      <c r="K32" s="8">
        <f t="shared" si="3"/>
        <v>8</v>
      </c>
      <c r="L32" s="8">
        <f t="shared" si="4"/>
        <v>23</v>
      </c>
      <c r="M32" s="13">
        <f t="shared" si="5"/>
        <v>0.58181818181818179</v>
      </c>
    </row>
    <row r="33" spans="1:13" x14ac:dyDescent="0.25">
      <c r="A33" s="3" t="s">
        <v>72</v>
      </c>
      <c r="B33" s="4" t="s">
        <v>73</v>
      </c>
      <c r="C33" s="4" t="s">
        <v>3</v>
      </c>
      <c r="D33" s="4">
        <v>100</v>
      </c>
      <c r="E33" s="4">
        <v>0</v>
      </c>
      <c r="F33" s="4">
        <f t="shared" si="6"/>
        <v>100</v>
      </c>
      <c r="G33" s="4">
        <v>0</v>
      </c>
      <c r="H33" s="4">
        <v>0</v>
      </c>
      <c r="I33" s="4">
        <f t="shared" si="1"/>
        <v>0</v>
      </c>
      <c r="J33" s="8">
        <f t="shared" si="2"/>
        <v>100</v>
      </c>
      <c r="K33" s="8">
        <f t="shared" si="3"/>
        <v>0</v>
      </c>
      <c r="L33" s="8">
        <f t="shared" si="4"/>
        <v>100</v>
      </c>
      <c r="M33" s="13">
        <f t="shared" si="5"/>
        <v>0</v>
      </c>
    </row>
    <row r="34" spans="1:13" x14ac:dyDescent="0.25">
      <c r="A34" s="3" t="s">
        <v>74</v>
      </c>
      <c r="B34" s="4" t="s">
        <v>75</v>
      </c>
      <c r="C34" s="4" t="s">
        <v>3</v>
      </c>
      <c r="D34" s="4">
        <v>75</v>
      </c>
      <c r="E34" s="4">
        <v>20</v>
      </c>
      <c r="F34" s="4">
        <f t="shared" si="6"/>
        <v>95</v>
      </c>
      <c r="G34" s="4">
        <v>0</v>
      </c>
      <c r="H34" s="4">
        <v>0</v>
      </c>
      <c r="I34" s="4">
        <f t="shared" si="1"/>
        <v>0</v>
      </c>
      <c r="J34" s="8">
        <f t="shared" si="2"/>
        <v>75</v>
      </c>
      <c r="K34" s="8">
        <f t="shared" si="3"/>
        <v>20</v>
      </c>
      <c r="L34" s="8">
        <f t="shared" si="4"/>
        <v>95</v>
      </c>
      <c r="M34" s="13">
        <f t="shared" si="5"/>
        <v>0</v>
      </c>
    </row>
    <row r="35" spans="1:13" x14ac:dyDescent="0.25">
      <c r="A35" s="3" t="s">
        <v>76</v>
      </c>
      <c r="B35" s="4" t="s">
        <v>77</v>
      </c>
      <c r="C35" s="4" t="s">
        <v>3</v>
      </c>
      <c r="D35" s="4">
        <v>230</v>
      </c>
      <c r="E35" s="4">
        <v>0</v>
      </c>
      <c r="F35" s="4">
        <f t="shared" si="6"/>
        <v>230</v>
      </c>
      <c r="G35" s="4">
        <v>20</v>
      </c>
      <c r="H35" s="4">
        <v>0</v>
      </c>
      <c r="I35" s="4">
        <f t="shared" si="1"/>
        <v>20</v>
      </c>
      <c r="J35" s="8">
        <f t="shared" si="2"/>
        <v>210</v>
      </c>
      <c r="K35" s="8">
        <f t="shared" si="3"/>
        <v>0</v>
      </c>
      <c r="L35" s="8">
        <f t="shared" si="4"/>
        <v>210</v>
      </c>
      <c r="M35" s="13">
        <f t="shared" si="5"/>
        <v>8.6956521739130432E-2</v>
      </c>
    </row>
    <row r="36" spans="1:13" x14ac:dyDescent="0.25">
      <c r="A36" s="11" t="s">
        <v>78</v>
      </c>
      <c r="B36" s="12" t="s">
        <v>79</v>
      </c>
      <c r="C36" s="12" t="s">
        <v>3</v>
      </c>
      <c r="D36" s="12">
        <v>0</v>
      </c>
      <c r="E36" s="12">
        <v>0</v>
      </c>
      <c r="F36" s="12">
        <f t="shared" si="6"/>
        <v>0</v>
      </c>
      <c r="G36" s="12">
        <v>2</v>
      </c>
      <c r="H36" s="12">
        <v>0</v>
      </c>
      <c r="I36" s="12">
        <f t="shared" si="1"/>
        <v>2</v>
      </c>
      <c r="J36" s="7">
        <f t="shared" si="2"/>
        <v>-2</v>
      </c>
      <c r="K36" s="7">
        <f t="shared" si="3"/>
        <v>0</v>
      </c>
      <c r="L36" s="7">
        <f t="shared" si="4"/>
        <v>-2</v>
      </c>
      <c r="M36" s="13"/>
    </row>
    <row r="37" spans="1:13" x14ac:dyDescent="0.25">
      <c r="A37" s="3" t="s">
        <v>80</v>
      </c>
      <c r="B37" s="4" t="s">
        <v>81</v>
      </c>
      <c r="C37" s="4" t="s">
        <v>3</v>
      </c>
      <c r="D37" s="4">
        <v>20</v>
      </c>
      <c r="E37" s="4">
        <v>20</v>
      </c>
      <c r="F37" s="4">
        <f t="shared" si="6"/>
        <v>40</v>
      </c>
      <c r="G37" s="4">
        <v>1</v>
      </c>
      <c r="H37" s="4">
        <v>4</v>
      </c>
      <c r="I37" s="4">
        <f t="shared" si="1"/>
        <v>5</v>
      </c>
      <c r="J37" s="8">
        <f t="shared" si="2"/>
        <v>19</v>
      </c>
      <c r="K37" s="8">
        <f t="shared" si="3"/>
        <v>16</v>
      </c>
      <c r="L37" s="8">
        <f t="shared" si="4"/>
        <v>35</v>
      </c>
      <c r="M37" s="13">
        <f t="shared" si="5"/>
        <v>0.125</v>
      </c>
    </row>
    <row r="38" spans="1:13" x14ac:dyDescent="0.25">
      <c r="A38" s="3" t="s">
        <v>82</v>
      </c>
      <c r="B38" s="4" t="s">
        <v>83</v>
      </c>
      <c r="C38" s="4" t="s">
        <v>3</v>
      </c>
      <c r="D38" s="4">
        <v>0</v>
      </c>
      <c r="E38" s="4">
        <v>100</v>
      </c>
      <c r="F38" s="4">
        <f t="shared" si="6"/>
        <v>100</v>
      </c>
      <c r="G38" s="4">
        <v>0</v>
      </c>
      <c r="H38" s="4">
        <v>22</v>
      </c>
      <c r="I38" s="4">
        <f t="shared" si="1"/>
        <v>22</v>
      </c>
      <c r="J38" s="8">
        <f t="shared" si="2"/>
        <v>0</v>
      </c>
      <c r="K38" s="8">
        <f t="shared" si="3"/>
        <v>78</v>
      </c>
      <c r="L38" s="8">
        <f t="shared" si="4"/>
        <v>78</v>
      </c>
      <c r="M38" s="13">
        <f t="shared" si="5"/>
        <v>0.22</v>
      </c>
    </row>
    <row r="39" spans="1:13" x14ac:dyDescent="0.25">
      <c r="A39" s="3" t="s">
        <v>84</v>
      </c>
      <c r="B39" s="4" t="s">
        <v>85</v>
      </c>
      <c r="C39" s="4" t="s">
        <v>3</v>
      </c>
      <c r="D39" s="4">
        <v>80</v>
      </c>
      <c r="E39" s="4">
        <v>80</v>
      </c>
      <c r="F39" s="4">
        <f t="shared" si="6"/>
        <v>160</v>
      </c>
      <c r="G39" s="4">
        <v>66</v>
      </c>
      <c r="H39" s="4">
        <v>90</v>
      </c>
      <c r="I39" s="4">
        <f t="shared" si="1"/>
        <v>156</v>
      </c>
      <c r="J39" s="8">
        <f t="shared" si="2"/>
        <v>14</v>
      </c>
      <c r="K39" s="8">
        <f t="shared" si="3"/>
        <v>-10</v>
      </c>
      <c r="L39" s="8">
        <f t="shared" si="4"/>
        <v>4</v>
      </c>
      <c r="M39" s="13">
        <f t="shared" si="5"/>
        <v>0.97499999999999998</v>
      </c>
    </row>
    <row r="40" spans="1:13" x14ac:dyDescent="0.25">
      <c r="A40" s="3" t="s">
        <v>86</v>
      </c>
      <c r="B40" s="4" t="s">
        <v>87</v>
      </c>
      <c r="C40" s="4" t="s">
        <v>3</v>
      </c>
      <c r="D40" s="4">
        <v>8</v>
      </c>
      <c r="E40" s="4">
        <v>0</v>
      </c>
      <c r="F40" s="4">
        <f t="shared" si="6"/>
        <v>8</v>
      </c>
      <c r="G40" s="4">
        <v>5</v>
      </c>
      <c r="H40" s="4">
        <v>2</v>
      </c>
      <c r="I40" s="4">
        <f t="shared" si="1"/>
        <v>7</v>
      </c>
      <c r="J40" s="8">
        <f t="shared" si="2"/>
        <v>3</v>
      </c>
      <c r="K40" s="8">
        <f t="shared" si="3"/>
        <v>-2</v>
      </c>
      <c r="L40" s="8">
        <f t="shared" si="4"/>
        <v>1</v>
      </c>
      <c r="M40" s="13">
        <f t="shared" si="5"/>
        <v>0.875</v>
      </c>
    </row>
    <row r="41" spans="1:13" x14ac:dyDescent="0.25">
      <c r="A41" s="3" t="s">
        <v>88</v>
      </c>
      <c r="B41" s="4" t="s">
        <v>89</v>
      </c>
      <c r="C41" s="4" t="s">
        <v>3</v>
      </c>
      <c r="D41" s="4">
        <v>35</v>
      </c>
      <c r="E41" s="4">
        <v>15</v>
      </c>
      <c r="F41" s="4">
        <f t="shared" si="6"/>
        <v>50</v>
      </c>
      <c r="G41" s="4">
        <v>9</v>
      </c>
      <c r="H41" s="4">
        <v>0</v>
      </c>
      <c r="I41" s="4">
        <f t="shared" si="1"/>
        <v>9</v>
      </c>
      <c r="J41" s="8">
        <f t="shared" si="2"/>
        <v>26</v>
      </c>
      <c r="K41" s="8">
        <f t="shared" si="3"/>
        <v>15</v>
      </c>
      <c r="L41" s="8">
        <f t="shared" si="4"/>
        <v>41</v>
      </c>
      <c r="M41" s="13">
        <f t="shared" si="5"/>
        <v>0.18</v>
      </c>
    </row>
    <row r="42" spans="1:13" x14ac:dyDescent="0.25">
      <c r="A42" s="3" t="s">
        <v>90</v>
      </c>
      <c r="B42" s="4" t="s">
        <v>91</v>
      </c>
      <c r="C42" s="4" t="s">
        <v>3</v>
      </c>
      <c r="D42" s="4">
        <v>250</v>
      </c>
      <c r="E42" s="4">
        <v>200</v>
      </c>
      <c r="F42" s="4">
        <f t="shared" si="6"/>
        <v>450</v>
      </c>
      <c r="G42" s="4">
        <v>11</v>
      </c>
      <c r="H42" s="4">
        <v>11</v>
      </c>
      <c r="I42" s="4">
        <f t="shared" si="1"/>
        <v>22</v>
      </c>
      <c r="J42" s="8">
        <f t="shared" si="2"/>
        <v>239</v>
      </c>
      <c r="K42" s="8">
        <f t="shared" si="3"/>
        <v>189</v>
      </c>
      <c r="L42" s="8">
        <f t="shared" si="4"/>
        <v>428</v>
      </c>
      <c r="M42" s="13">
        <f t="shared" si="5"/>
        <v>4.8888888888888891E-2</v>
      </c>
    </row>
    <row r="43" spans="1:13" x14ac:dyDescent="0.25">
      <c r="A43" s="3" t="s">
        <v>92</v>
      </c>
      <c r="B43" s="4" t="s">
        <v>93</v>
      </c>
      <c r="C43" s="4" t="s">
        <v>3</v>
      </c>
      <c r="D43" s="4">
        <v>75</v>
      </c>
      <c r="E43" s="4">
        <v>55</v>
      </c>
      <c r="F43" s="4">
        <f t="shared" si="6"/>
        <v>130</v>
      </c>
      <c r="G43" s="4">
        <v>0</v>
      </c>
      <c r="H43" s="4">
        <v>1</v>
      </c>
      <c r="I43" s="4">
        <f t="shared" si="1"/>
        <v>1</v>
      </c>
      <c r="J43" s="8">
        <f t="shared" si="2"/>
        <v>75</v>
      </c>
      <c r="K43" s="8">
        <f t="shared" si="3"/>
        <v>54</v>
      </c>
      <c r="L43" s="8">
        <f t="shared" si="4"/>
        <v>129</v>
      </c>
      <c r="M43" s="13">
        <f t="shared" si="5"/>
        <v>7.6923076923076927E-3</v>
      </c>
    </row>
    <row r="44" spans="1:13" x14ac:dyDescent="0.25">
      <c r="A44" s="3" t="s">
        <v>94</v>
      </c>
      <c r="B44" s="4" t="s">
        <v>95</v>
      </c>
      <c r="C44" s="4" t="s">
        <v>3</v>
      </c>
      <c r="D44" s="4">
        <v>120</v>
      </c>
      <c r="E44" s="4">
        <v>480</v>
      </c>
      <c r="F44" s="4">
        <f t="shared" si="6"/>
        <v>600</v>
      </c>
      <c r="G44" s="4">
        <v>37</v>
      </c>
      <c r="H44" s="4">
        <v>103</v>
      </c>
      <c r="I44" s="4">
        <f t="shared" si="1"/>
        <v>140</v>
      </c>
      <c r="J44" s="8">
        <f t="shared" si="2"/>
        <v>83</v>
      </c>
      <c r="K44" s="8">
        <f t="shared" si="3"/>
        <v>377</v>
      </c>
      <c r="L44" s="8">
        <f t="shared" si="4"/>
        <v>460</v>
      </c>
      <c r="M44" s="13">
        <f t="shared" si="5"/>
        <v>0.23333333333333334</v>
      </c>
    </row>
    <row r="45" spans="1:13" x14ac:dyDescent="0.25">
      <c r="A45" s="11" t="s">
        <v>96</v>
      </c>
      <c r="B45" s="12" t="s">
        <v>97</v>
      </c>
      <c r="C45" s="12" t="s">
        <v>3</v>
      </c>
      <c r="D45" s="12"/>
      <c r="E45" s="12"/>
      <c r="F45" s="12">
        <f t="shared" si="6"/>
        <v>0</v>
      </c>
      <c r="G45" s="12">
        <v>0</v>
      </c>
      <c r="H45" s="12">
        <v>0</v>
      </c>
      <c r="I45" s="12">
        <f t="shared" si="1"/>
        <v>0</v>
      </c>
      <c r="J45" s="7">
        <f t="shared" si="2"/>
        <v>0</v>
      </c>
      <c r="K45" s="7">
        <f t="shared" si="3"/>
        <v>0</v>
      </c>
      <c r="L45" s="7">
        <f t="shared" si="4"/>
        <v>0</v>
      </c>
      <c r="M45" s="13"/>
    </row>
    <row r="46" spans="1:13" x14ac:dyDescent="0.25">
      <c r="A46" s="3" t="s">
        <v>100</v>
      </c>
      <c r="B46" s="4" t="s">
        <v>101</v>
      </c>
      <c r="C46" s="4" t="s">
        <v>3</v>
      </c>
      <c r="D46" s="4">
        <v>280</v>
      </c>
      <c r="E46" s="4">
        <v>0</v>
      </c>
      <c r="F46" s="4">
        <f t="shared" ref="F46:F50" si="7">+D46+E46</f>
        <v>280</v>
      </c>
      <c r="G46" s="4">
        <v>74</v>
      </c>
      <c r="H46" s="4">
        <v>9</v>
      </c>
      <c r="I46" s="4">
        <f t="shared" si="1"/>
        <v>83</v>
      </c>
      <c r="J46" s="8">
        <f t="shared" si="2"/>
        <v>206</v>
      </c>
      <c r="K46" s="8">
        <f t="shared" si="3"/>
        <v>-9</v>
      </c>
      <c r="L46" s="8">
        <f t="shared" si="4"/>
        <v>197</v>
      </c>
      <c r="M46" s="13">
        <f t="shared" si="5"/>
        <v>0.29642857142857143</v>
      </c>
    </row>
    <row r="47" spans="1:13" x14ac:dyDescent="0.25">
      <c r="A47" s="3" t="s">
        <v>102</v>
      </c>
      <c r="B47" s="4" t="s">
        <v>103</v>
      </c>
      <c r="C47" s="4" t="s">
        <v>3</v>
      </c>
      <c r="D47" s="4">
        <v>30</v>
      </c>
      <c r="E47" s="4">
        <v>300</v>
      </c>
      <c r="F47" s="4">
        <f t="shared" si="7"/>
        <v>330</v>
      </c>
      <c r="G47" s="4">
        <v>0</v>
      </c>
      <c r="H47" s="4">
        <v>56</v>
      </c>
      <c r="I47" s="4">
        <f t="shared" si="1"/>
        <v>56</v>
      </c>
      <c r="J47" s="8">
        <f t="shared" si="2"/>
        <v>30</v>
      </c>
      <c r="K47" s="8">
        <f t="shared" si="3"/>
        <v>244</v>
      </c>
      <c r="L47" s="8">
        <f t="shared" si="4"/>
        <v>274</v>
      </c>
      <c r="M47" s="13">
        <f t="shared" si="5"/>
        <v>0.16969696969696971</v>
      </c>
    </row>
    <row r="48" spans="1:13" x14ac:dyDescent="0.25">
      <c r="A48" s="3" t="s">
        <v>109</v>
      </c>
      <c r="B48" s="4" t="s">
        <v>110</v>
      </c>
      <c r="C48" s="4" t="s">
        <v>3</v>
      </c>
      <c r="D48" s="4">
        <v>50</v>
      </c>
      <c r="E48" s="4">
        <v>50</v>
      </c>
      <c r="F48" s="4">
        <f t="shared" si="7"/>
        <v>100</v>
      </c>
      <c r="G48" s="4">
        <v>0</v>
      </c>
      <c r="H48" s="4">
        <v>0</v>
      </c>
      <c r="I48" s="4">
        <f t="shared" si="1"/>
        <v>0</v>
      </c>
      <c r="J48" s="8">
        <f t="shared" si="2"/>
        <v>50</v>
      </c>
      <c r="K48" s="8">
        <f t="shared" si="3"/>
        <v>50</v>
      </c>
      <c r="L48" s="8">
        <f t="shared" si="4"/>
        <v>100</v>
      </c>
      <c r="M48" s="13">
        <f t="shared" si="5"/>
        <v>0</v>
      </c>
    </row>
    <row r="49" spans="1:13" x14ac:dyDescent="0.25">
      <c r="A49" s="3" t="s">
        <v>108</v>
      </c>
      <c r="B49" s="4" t="s">
        <v>111</v>
      </c>
      <c r="C49" s="4" t="s">
        <v>3</v>
      </c>
      <c r="D49" s="4">
        <v>10</v>
      </c>
      <c r="E49" s="4">
        <v>10</v>
      </c>
      <c r="F49" s="4">
        <f t="shared" si="7"/>
        <v>20</v>
      </c>
      <c r="G49" s="4">
        <v>0</v>
      </c>
      <c r="H49" s="4">
        <v>0</v>
      </c>
      <c r="I49" s="4">
        <f t="shared" si="1"/>
        <v>0</v>
      </c>
      <c r="J49" s="8">
        <f t="shared" si="2"/>
        <v>10</v>
      </c>
      <c r="K49" s="8">
        <f t="shared" si="3"/>
        <v>10</v>
      </c>
      <c r="L49" s="8">
        <f t="shared" si="4"/>
        <v>20</v>
      </c>
      <c r="M49" s="13">
        <f t="shared" si="5"/>
        <v>0</v>
      </c>
    </row>
    <row r="50" spans="1:13" x14ac:dyDescent="0.25">
      <c r="A50" s="3" t="s">
        <v>112</v>
      </c>
      <c r="B50" s="4" t="s">
        <v>113</v>
      </c>
      <c r="C50" s="4" t="s">
        <v>3</v>
      </c>
      <c r="D50" s="4">
        <v>0</v>
      </c>
      <c r="E50" s="4">
        <v>22</v>
      </c>
      <c r="F50" s="4">
        <f t="shared" si="7"/>
        <v>22</v>
      </c>
      <c r="G50" s="4">
        <v>0</v>
      </c>
      <c r="H50" s="4">
        <v>0</v>
      </c>
      <c r="I50" s="4">
        <f t="shared" si="1"/>
        <v>0</v>
      </c>
      <c r="J50" s="8">
        <f t="shared" si="2"/>
        <v>0</v>
      </c>
      <c r="K50" s="8">
        <f t="shared" si="3"/>
        <v>22</v>
      </c>
      <c r="L50" s="8">
        <f t="shared" si="4"/>
        <v>22</v>
      </c>
      <c r="M50" s="13">
        <f t="shared" si="5"/>
        <v>0</v>
      </c>
    </row>
    <row r="51" spans="1:13" x14ac:dyDescent="0.25">
      <c r="A51" s="10" t="s">
        <v>116</v>
      </c>
      <c r="B51" s="7">
        <f>COUNTA(B3:B50)</f>
        <v>48</v>
      </c>
      <c r="C51" s="7"/>
      <c r="D51" s="7">
        <f t="shared" ref="D51:I51" si="8">SUM(D3:D50)</f>
        <v>4204</v>
      </c>
      <c r="E51" s="7">
        <f t="shared" si="8"/>
        <v>3502</v>
      </c>
      <c r="F51" s="7">
        <f t="shared" si="8"/>
        <v>7706</v>
      </c>
      <c r="G51" s="7">
        <f t="shared" si="8"/>
        <v>950</v>
      </c>
      <c r="H51" s="7">
        <f t="shared" si="8"/>
        <v>1114</v>
      </c>
      <c r="I51" s="7">
        <f t="shared" si="8"/>
        <v>2064</v>
      </c>
      <c r="J51" s="7">
        <f t="shared" ref="J51:L51" si="9">SUM(J3:J50)</f>
        <v>3254</v>
      </c>
      <c r="K51" s="7">
        <f t="shared" si="9"/>
        <v>2388</v>
      </c>
      <c r="L51" s="7">
        <f t="shared" si="9"/>
        <v>5642</v>
      </c>
      <c r="M51" s="13">
        <f t="shared" si="5"/>
        <v>0.26784323903451857</v>
      </c>
    </row>
    <row r="54" spans="1:13" x14ac:dyDescent="0.25">
      <c r="A54" s="7" t="s">
        <v>0</v>
      </c>
      <c r="B54" s="7" t="s">
        <v>1</v>
      </c>
      <c r="C54" s="7" t="s">
        <v>2</v>
      </c>
      <c r="D54" s="14" t="s">
        <v>115</v>
      </c>
      <c r="E54" s="14"/>
      <c r="F54" s="14"/>
    </row>
    <row r="55" spans="1:13" x14ac:dyDescent="0.25">
      <c r="A55" s="5"/>
      <c r="B55" s="6"/>
      <c r="C55" s="6"/>
      <c r="D55" s="6" t="s">
        <v>105</v>
      </c>
      <c r="E55" s="6" t="s">
        <v>106</v>
      </c>
      <c r="F55" s="6" t="s">
        <v>107</v>
      </c>
    </row>
    <row r="56" spans="1:13" x14ac:dyDescent="0.25">
      <c r="A56" s="3" t="s">
        <v>98</v>
      </c>
      <c r="B56" s="4" t="s">
        <v>99</v>
      </c>
      <c r="C56" s="4" t="s">
        <v>118</v>
      </c>
      <c r="D56" s="4">
        <v>0</v>
      </c>
      <c r="E56" s="4">
        <v>433</v>
      </c>
      <c r="F56" s="4">
        <f>+D56+E56</f>
        <v>433</v>
      </c>
      <c r="G56"/>
      <c r="H56"/>
      <c r="I56"/>
      <c r="J56"/>
      <c r="K56"/>
      <c r="L56"/>
    </row>
    <row r="57" spans="1:13" x14ac:dyDescent="0.25">
      <c r="A57" s="3" t="s">
        <v>48</v>
      </c>
      <c r="B57" s="4" t="s">
        <v>49</v>
      </c>
      <c r="C57" s="4" t="s">
        <v>117</v>
      </c>
      <c r="D57" s="4">
        <v>180</v>
      </c>
      <c r="E57" s="4">
        <v>22</v>
      </c>
      <c r="F57" s="4">
        <f>+D57+E57</f>
        <v>202</v>
      </c>
      <c r="G57"/>
      <c r="H57"/>
      <c r="I57"/>
      <c r="J57"/>
      <c r="K57"/>
      <c r="L57"/>
    </row>
    <row r="58" spans="1:13" x14ac:dyDescent="0.25">
      <c r="A58" s="3" t="s">
        <v>50</v>
      </c>
      <c r="B58" s="4" t="s">
        <v>51</v>
      </c>
      <c r="C58" s="4" t="s">
        <v>119</v>
      </c>
      <c r="D58" s="4">
        <v>128</v>
      </c>
      <c r="E58" s="4">
        <v>15</v>
      </c>
      <c r="F58" s="4">
        <f>+D58+E58</f>
        <v>143</v>
      </c>
      <c r="G58"/>
      <c r="H58"/>
      <c r="I58"/>
      <c r="J58"/>
      <c r="K58"/>
      <c r="L58"/>
    </row>
    <row r="59" spans="1:13" x14ac:dyDescent="0.25">
      <c r="A59" s="3" t="s">
        <v>56</v>
      </c>
      <c r="B59" s="4" t="s">
        <v>57</v>
      </c>
      <c r="C59" s="4" t="s">
        <v>120</v>
      </c>
      <c r="D59" s="4">
        <v>1</v>
      </c>
      <c r="E59" s="4">
        <v>4</v>
      </c>
      <c r="F59" s="4">
        <f>+D59+E59</f>
        <v>5</v>
      </c>
      <c r="G59"/>
      <c r="H59"/>
      <c r="I59"/>
      <c r="J59"/>
      <c r="K59"/>
      <c r="L59"/>
    </row>
    <row r="60" spans="1:13" x14ac:dyDescent="0.25">
      <c r="A60" s="3" t="s">
        <v>26</v>
      </c>
      <c r="B60" s="4" t="s">
        <v>27</v>
      </c>
      <c r="C60" s="4" t="s">
        <v>121</v>
      </c>
      <c r="D60" s="4">
        <v>141</v>
      </c>
      <c r="E60" s="4">
        <v>237</v>
      </c>
      <c r="F60" s="4">
        <f>+D60+E60</f>
        <v>378</v>
      </c>
      <c r="G60"/>
      <c r="H60"/>
      <c r="I60"/>
      <c r="J60"/>
      <c r="K60"/>
      <c r="L60"/>
    </row>
    <row r="61" spans="1:13" x14ac:dyDescent="0.25">
      <c r="A61" s="10" t="s">
        <v>116</v>
      </c>
      <c r="B61" s="7">
        <f>COUNTA(B56:B60)</f>
        <v>5</v>
      </c>
      <c r="C61" s="12"/>
      <c r="D61" s="12">
        <f>SUM(D56:D60)</f>
        <v>450</v>
      </c>
      <c r="E61" s="12">
        <f t="shared" ref="E61:F61" si="10">SUM(E56:E60)</f>
        <v>711</v>
      </c>
      <c r="F61" s="12">
        <f t="shared" si="10"/>
        <v>1161</v>
      </c>
    </row>
  </sheetData>
  <mergeCells count="4">
    <mergeCell ref="D54:F54"/>
    <mergeCell ref="D1:F1"/>
    <mergeCell ref="G1:I1"/>
    <mergeCell ref="J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 vs Actual-2026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Chitra</cp:lastModifiedBy>
  <dcterms:created xsi:type="dcterms:W3CDTF">2026-03-09T11:14:13Z</dcterms:created>
  <dcterms:modified xsi:type="dcterms:W3CDTF">2026-03-09T16:28:35Z</dcterms:modified>
</cp:coreProperties>
</file>